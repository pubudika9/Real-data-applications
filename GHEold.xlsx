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nam0002/Documents/MATLAB/HEdata/"/>
    </mc:Choice>
  </mc:AlternateContent>
  <xr:revisionPtr revIDLastSave="0" documentId="13_ncr:1_{55CA07BD-3ECA-1340-BD34-19BAF4CD8B83}" xr6:coauthVersionLast="47" xr6:coauthVersionMax="47" xr10:uidLastSave="{00000000-0000-0000-0000-000000000000}"/>
  <bookViews>
    <workbookView xWindow="3680" yWindow="10720" windowWidth="28800" windowHeight="15380" xr2:uid="{00000000-000D-0000-FFFF-FFFF00000000}"/>
  </bookViews>
  <sheets>
    <sheet name="OECD.Stat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MyOECD</author>
  </authors>
  <commentList>
    <comment ref="B3" authorId="0" shapeId="0" xr:uid="{00000000-0006-0000-0000-000003000000}">
      <text>
        <r>
          <rPr>
            <sz val="9"/>
            <color rgb="FF000000"/>
            <rFont val="Tahoma"/>
            <family val="2"/>
          </rPr>
          <t xml:space="preserve">D: Difference in methodology </t>
        </r>
      </text>
    </comment>
    <comment ref="C3" authorId="0" shapeId="0" xr:uid="{00000000-0006-0000-0000-000004000000}">
      <text>
        <r>
          <rPr>
            <sz val="9"/>
            <color rgb="FF000000"/>
            <rFont val="Tahoma"/>
            <family val="2"/>
          </rPr>
          <t xml:space="preserve">D: Difference in methodology </t>
        </r>
      </text>
    </comment>
    <comment ref="D3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D: Difference in methodology </t>
        </r>
      </text>
    </comment>
    <comment ref="E3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D: Difference in methodology </t>
        </r>
      </text>
    </comment>
    <comment ref="F3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D: Difference in methodology </t>
        </r>
      </text>
    </comment>
    <comment ref="G3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D: Difference in methodology </t>
        </r>
      </text>
    </comment>
    <comment ref="H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D: Difference in methodology </t>
        </r>
      </text>
    </comment>
    <comment ref="I3" authorId="0" shapeId="0" xr:uid="{00000000-0006-0000-0000-00000A000000}">
      <text>
        <r>
          <rPr>
            <sz val="9"/>
            <color indexed="81"/>
            <rFont val="Tahoma"/>
            <family val="2"/>
          </rPr>
          <t xml:space="preserve">D: Difference in methodology </t>
        </r>
      </text>
    </comment>
    <comment ref="J3" authorId="0" shapeId="0" xr:uid="{00000000-0006-0000-0000-00000B000000}">
      <text>
        <r>
          <rPr>
            <sz val="9"/>
            <color indexed="81"/>
            <rFont val="Tahoma"/>
            <family val="2"/>
          </rPr>
          <t xml:space="preserve">D: Difference in methodology </t>
        </r>
      </text>
    </comment>
    <comment ref="K3" authorId="0" shapeId="0" xr:uid="{00000000-0006-0000-0000-00000C000000}">
      <text>
        <r>
          <rPr>
            <sz val="9"/>
            <color indexed="81"/>
            <rFont val="Tahoma"/>
            <family val="2"/>
          </rPr>
          <t xml:space="preserve">D: Difference in methodology </t>
        </r>
      </text>
    </comment>
    <comment ref="L3" authorId="0" shapeId="0" xr:uid="{00000000-0006-0000-0000-00000D000000}">
      <text>
        <r>
          <rPr>
            <sz val="9"/>
            <color indexed="81"/>
            <rFont val="Tahoma"/>
            <family val="2"/>
          </rPr>
          <t xml:space="preserve">D: Difference in methodology </t>
        </r>
      </text>
    </comment>
    <comment ref="M3" authorId="0" shapeId="0" xr:uid="{00000000-0006-0000-0000-00000E000000}">
      <text>
        <r>
          <rPr>
            <sz val="9"/>
            <color indexed="81"/>
            <rFont val="Tahoma"/>
            <family val="2"/>
          </rPr>
          <t xml:space="preserve">D: Difference in methodology </t>
        </r>
      </text>
    </comment>
    <comment ref="N3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D: Difference in methodology </t>
        </r>
      </text>
    </comment>
    <comment ref="O3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D: Difference in methodology </t>
        </r>
      </text>
    </comment>
    <comment ref="P3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F4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E5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B8" authorId="0" shapeId="0" xr:uid="{00000000-0006-0000-0000-000019000000}">
      <text>
        <r>
          <rPr>
            <sz val="9"/>
            <color rgb="FF000000"/>
            <rFont val="Tahoma"/>
            <family val="2"/>
          </rPr>
          <t xml:space="preserve">B: Break </t>
        </r>
      </text>
    </comment>
    <comment ref="E8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O8" authorId="0" shapeId="0" xr:uid="{00000000-0006-0000-0000-00001B000000}">
      <text>
        <r>
          <rPr>
            <sz val="9"/>
            <color rgb="FF000000"/>
            <rFont val="Tahoma"/>
            <family val="2"/>
          </rPr>
          <t xml:space="preserve">B: Break </t>
        </r>
      </text>
    </comment>
    <comment ref="S8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E9" authorId="0" shapeId="0" xr:uid="{00000000-0006-0000-0000-00001D000000}">
      <text>
        <r>
          <rPr>
            <sz val="9"/>
            <color rgb="FF000000"/>
            <rFont val="Tahoma"/>
            <family val="2"/>
          </rPr>
          <t xml:space="preserve">B: Break </t>
        </r>
      </text>
    </comment>
    <comment ref="L9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Q10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E11" authorId="0" shapeId="0" xr:uid="{00000000-0006-0000-0000-000022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H11" authorId="0" shapeId="0" xr:uid="{00000000-0006-0000-0000-000023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O11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E13" authorId="0" shapeId="0" xr:uid="{00000000-0006-0000-0000-000026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E14" authorId="0" shapeId="0" xr:uid="{00000000-0006-0000-0000-000028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B15" authorId="0" shapeId="0" xr:uid="{00000000-0006-0000-0000-000029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E15" authorId="0" shapeId="0" xr:uid="{00000000-0006-0000-0000-00002A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M16" authorId="0" shapeId="0" xr:uid="{00000000-0006-0000-0000-00002B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N17" authorId="0" shapeId="0" xr:uid="{00000000-0006-0000-0000-00002D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U17" authorId="0" shapeId="0" xr:uid="{00000000-0006-0000-0000-00002E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M18" authorId="0" shapeId="0" xr:uid="{00000000-0006-0000-0000-000034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B20" authorId="0" shapeId="0" xr:uid="{00000000-0006-0000-0000-00003F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M20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N20" authorId="0" shapeId="0" xr:uid="{00000000-0006-0000-0000-000041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E21" authorId="0" shapeId="0" xr:uid="{00000000-0006-0000-0000-000042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J23" authorId="0" shapeId="0" xr:uid="{00000000-0006-0000-0000-000044000000}">
      <text>
        <r>
          <rPr>
            <sz val="9"/>
            <color indexed="81"/>
            <rFont val="Tahoma"/>
            <family val="2"/>
          </rPr>
          <t xml:space="preserve">B: Break P: Provisional value </t>
        </r>
      </text>
    </comment>
    <comment ref="K23" authorId="0" shapeId="0" xr:uid="{00000000-0006-0000-0000-00004500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L23" authorId="0" shapeId="0" xr:uid="{00000000-0006-0000-0000-00004600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M23" authorId="0" shapeId="0" xr:uid="{00000000-0006-0000-0000-00004700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N23" authorId="0" shapeId="0" xr:uid="{00000000-0006-0000-0000-00004800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O23" authorId="0" shapeId="0" xr:uid="{00000000-0006-0000-0000-00004900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P23" authorId="0" shapeId="0" xr:uid="{00000000-0006-0000-0000-00004A00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Q23" authorId="0" shapeId="0" xr:uid="{00000000-0006-0000-0000-00004B00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R23" authorId="0" shapeId="0" xr:uid="{00000000-0006-0000-0000-00004C00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S23" authorId="0" shapeId="0" xr:uid="{00000000-0006-0000-0000-00004D00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T23" authorId="0" shapeId="0" xr:uid="{00000000-0006-0000-0000-00004E000000}">
      <text>
        <r>
          <rPr>
            <sz val="9"/>
            <color indexed="81"/>
            <rFont val="Tahoma"/>
            <family val="2"/>
          </rPr>
          <t xml:space="preserve">P: Provisional value </t>
        </r>
      </text>
    </comment>
    <comment ref="U23" authorId="0" shapeId="0" xr:uid="{00000000-0006-0000-0000-00004F000000}">
      <text>
        <r>
          <rPr>
            <sz val="9"/>
            <color indexed="81"/>
            <rFont val="Tahoma"/>
            <family val="2"/>
          </rPr>
          <t xml:space="preserve">E: Estimated value </t>
        </r>
      </text>
    </comment>
    <comment ref="C24" authorId="0" shapeId="0" xr:uid="{00000000-0006-0000-0000-000053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D25" authorId="0" shapeId="0" xr:uid="{00000000-0006-0000-0000-000054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B26" authorId="0" shapeId="0" xr:uid="{00000000-0006-0000-0000-000056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E27" authorId="0" shapeId="0" xr:uid="{00000000-0006-0000-0000-00005C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  <comment ref="M28" authorId="0" shapeId="0" xr:uid="{00000000-0006-0000-0000-00005E000000}">
      <text>
        <r>
          <rPr>
            <sz val="9"/>
            <color indexed="81"/>
            <rFont val="Tahoma"/>
            <family val="2"/>
          </rPr>
          <t xml:space="preserve">B: Break </t>
        </r>
      </text>
    </comment>
  </commentList>
</comments>
</file>

<file path=xl/sharedStrings.xml><?xml version="1.0" encoding="utf-8"?>
<sst xmlns="http://schemas.openxmlformats.org/spreadsheetml/2006/main" count="56" uniqueCount="56">
  <si>
    <t>Year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</si>
  <si>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</si>
  <si>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</si>
  <si>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</si>
  <si>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</si>
  <si>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</si>
  <si>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</si>
  <si>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</si>
  <si>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</si>
  <si>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</si>
  <si>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</si>
  <si>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</si>
  <si>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</si>
  <si>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</si>
  <si>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</si>
  <si>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</si>
  <si>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</si>
  <si>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</si>
  <si>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</si>
  <si>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</si>
  <si>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</si>
  <si>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Australia</t>
  </si>
  <si>
    <t>Austria</t>
  </si>
  <si>
    <t>Belgium</t>
  </si>
  <si>
    <t>Canada</t>
  </si>
  <si>
    <t>Chile</t>
  </si>
  <si>
    <t>Czech Republic</t>
  </si>
  <si>
    <t>Denmark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</si>
  <si>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</si>
  <si>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</si>
  <si>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</si>
  <si>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</si>
  <si>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</si>
  <si>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</si>
  <si>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</si>
  <si>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</si>
  <si>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Japan</t>
  </si>
  <si>
    <t>Korea</t>
  </si>
  <si>
    <t>Luxembourg</t>
  </si>
  <si>
    <t>Mexico</t>
  </si>
  <si>
    <t>Netherlands</t>
  </si>
  <si>
    <t>New Zealand</t>
  </si>
  <si>
    <t>Norway</t>
  </si>
  <si>
    <t>Poland</t>
  </si>
  <si>
    <t>Portugal</t>
  </si>
  <si>
    <t>Spain</t>
  </si>
  <si>
    <t>Sweden</t>
  </si>
  <si>
    <t>Switzerland</t>
  </si>
  <si>
    <t>United Kingdom</t>
  </si>
  <si>
    <t>United States</t>
  </si>
  <si>
    <t>Data extracted on 02 Feb 2023 08:56 UTC (GMT) from OECD.Stat</t>
  </si>
  <si>
    <t>Legend:</t>
  </si>
  <si>
    <t>D:</t>
  </si>
  <si>
    <t>B:</t>
  </si>
  <si>
    <t>E:</t>
  </si>
  <si>
    <t>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</si>
</sst>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_ ;\-#,##0.0\ "/>
  </numFmts>
  <fonts count="2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  <font>
      <u/>
      <sz val="8"/>
      <name val="Verdana"/>
      <family val="2"/>
    </font>
    <font>
      <b/>
      <sz val="8"/>
      <name val="Verdana"/>
      <family val="2"/>
    </font>
    <font>
      <sz val="8"/>
      <color indexed="9"/>
      <name val="Verdana"/>
      <family val="2"/>
    </font>
    <font>
      <b/>
      <sz val="8"/>
      <color indexed="9"/>
      <name val="Verdana"/>
      <family val="2"/>
    </font>
    <font>
      <sz val="8"/>
      <name val="Arial"/>
      <family val="2"/>
    </font>
    <font>
      <sz val="9"/>
      <color indexed="81"/>
      <name val="Tahoma"/>
      <family val="2"/>
    </font>
    <font>
      <sz val="9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solid">
        <fgColor rgb="FFF0F8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3" fillId="0" borderId="10" xfId="0" applyFont="1" applyBorder="1"/>
    <xf numFmtId="0" fontId="22" fillId="33" borderId="11" xfId="0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center" vertical="top" wrapText="1"/>
    </xf>
    <xf numFmtId="0" fontId="19" fillId="34" borderId="10" xfId="0" applyFont="1" applyFill="1" applyBorder="1" applyAlignment="1">
      <alignment vertical="top" wrapText="1"/>
    </xf>
    <xf numFmtId="164" fontId="23" fillId="0" borderId="10" xfId="0" applyNumberFormat="1" applyFont="1" applyBorder="1" applyAlignment="1">
      <alignment horizontal="right"/>
    </xf>
    <xf numFmtId="164" fontId="23" fillId="35" borderId="10" xfId="0" applyNumberFormat="1" applyFont="1" applyFill="1" applyBorder="1" applyAlignment="1">
      <alignment horizontal="right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0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tats.oecd.org/OECDStat_Metadata/ShowMetadata.ashx?Dataset=SHA&amp;Coords=%5bLOCATION%5d.%5bFIN%5d&amp;ShowOnWeb=true&amp;Lang=en" TargetMode="External"/><Relationship Id="rId13" Type="http://schemas.openxmlformats.org/officeDocument/2006/relationships/hyperlink" Target="http://stats.oecd.org/OECDStat_Metadata/ShowMetadata.ashx?Dataset=SHA&amp;Coords=%5bLOCATION%5d.%5bISL%5d&amp;ShowOnWeb=true&amp;Lang=en" TargetMode="External"/><Relationship Id="rId18" Type="http://schemas.openxmlformats.org/officeDocument/2006/relationships/hyperlink" Target="http://stats.oecd.org/OECDStat_Metadata/ShowMetadata.ashx?Dataset=SHA&amp;Coords=%5bLOCATION%5d.%5bLUX%5d&amp;ShowOnWeb=true&amp;Lang=en" TargetMode="External"/><Relationship Id="rId26" Type="http://schemas.openxmlformats.org/officeDocument/2006/relationships/hyperlink" Target="http://stats.oecd.org/OECDStat_Metadata/ShowMetadata.ashx?Dataset=SHA&amp;Coords=%5bLOCATION%5d.%5bSWE%5d&amp;ShowOnWeb=true&amp;Lang=en" TargetMode="External"/><Relationship Id="rId3" Type="http://schemas.openxmlformats.org/officeDocument/2006/relationships/hyperlink" Target="http://stats.oecd.org/OECDStat_Metadata/ShowMetadata.ashx?Dataset=SHA&amp;Coords=%5bLOCATION%5d.%5bBEL%5d&amp;ShowOnWeb=true&amp;Lang=en" TargetMode="External"/><Relationship Id="rId21" Type="http://schemas.openxmlformats.org/officeDocument/2006/relationships/hyperlink" Target="http://stats.oecd.org/OECDStat_Metadata/ShowMetadata.ashx?Dataset=SHA&amp;Coords=%5bLOCATION%5d.%5bNZL%5d&amp;ShowOnWeb=true&amp;Lang=en" TargetMode="External"/><Relationship Id="rId7" Type="http://schemas.openxmlformats.org/officeDocument/2006/relationships/hyperlink" Target="http://stats.oecd.org/OECDStat_Metadata/ShowMetadata.ashx?Dataset=SHA&amp;Coords=%5bLOCATION%5d.%5bDNK%5d&amp;ShowOnWeb=true&amp;Lang=en" TargetMode="External"/><Relationship Id="rId12" Type="http://schemas.openxmlformats.org/officeDocument/2006/relationships/hyperlink" Target="http://stats.oecd.org/OECDStat_Metadata/ShowMetadata.ashx?Dataset=SHA&amp;Coords=%5bLOCATION%5d.%5bHUN%5d&amp;ShowOnWeb=true&amp;Lang=en" TargetMode="External"/><Relationship Id="rId17" Type="http://schemas.openxmlformats.org/officeDocument/2006/relationships/hyperlink" Target="http://stats.oecd.org/OECDStat_Metadata/ShowMetadata.ashx?Dataset=SHA&amp;Coords=%5bLOCATION%5d.%5bKOR%5d&amp;ShowOnWeb=true&amp;Lang=en" TargetMode="External"/><Relationship Id="rId25" Type="http://schemas.openxmlformats.org/officeDocument/2006/relationships/hyperlink" Target="http://stats.oecd.org/OECDStat_Metadata/ShowMetadata.ashx?Dataset=SHA&amp;Coords=%5bLOCATION%5d.%5bESP%5d&amp;ShowOnWeb=true&amp;Lang=en" TargetMode="External"/><Relationship Id="rId2" Type="http://schemas.openxmlformats.org/officeDocument/2006/relationships/hyperlink" Target="http://stats.oecd.org/OECDStat_Metadata/ShowMetadata.ashx?Dataset=SHA&amp;Coords=%5bLOCATION%5d.%5bAUT%5d&amp;ShowOnWeb=true&amp;Lang=en" TargetMode="External"/><Relationship Id="rId16" Type="http://schemas.openxmlformats.org/officeDocument/2006/relationships/hyperlink" Target="http://stats.oecd.org/OECDStat_Metadata/ShowMetadata.ashx?Dataset=SHA&amp;Coords=%5bLOCATION%5d.%5bJPN%5d&amp;ShowOnWeb=true&amp;Lang=en" TargetMode="External"/><Relationship Id="rId20" Type="http://schemas.openxmlformats.org/officeDocument/2006/relationships/hyperlink" Target="http://stats.oecd.org/OECDStat_Metadata/ShowMetadata.ashx?Dataset=SHA&amp;Coords=%5bLOCATION%5d.%5bNLD%5d&amp;ShowOnWeb=true&amp;Lang=en" TargetMode="External"/><Relationship Id="rId29" Type="http://schemas.openxmlformats.org/officeDocument/2006/relationships/hyperlink" Target="http://stats.oecd.org/OECDStat_Metadata/ShowMetadata.ashx?Dataset=SHA&amp;Coords=%5bLOCATION%5d.%5bUSA%5d&amp;ShowOnWeb=true&amp;Lang=en" TargetMode="External"/><Relationship Id="rId1" Type="http://schemas.openxmlformats.org/officeDocument/2006/relationships/hyperlink" Target="http://stats.oecd.org/OECDStat_Metadata/ShowMetadata.ashx?Dataset=SHA&amp;Coords=%5bLOCATION%5d.%5bAUS%5d&amp;ShowOnWeb=true&amp;Lang=en" TargetMode="External"/><Relationship Id="rId6" Type="http://schemas.openxmlformats.org/officeDocument/2006/relationships/hyperlink" Target="http://stats.oecd.org/OECDStat_Metadata/ShowMetadata.ashx?Dataset=SHA&amp;Coords=%5bLOCATION%5d.%5bCZE%5d&amp;ShowOnWeb=true&amp;Lang=en" TargetMode="External"/><Relationship Id="rId11" Type="http://schemas.openxmlformats.org/officeDocument/2006/relationships/hyperlink" Target="http://stats.oecd.org/OECDStat_Metadata/ShowMetadata.ashx?Dataset=SHA&amp;Coords=%5bLOCATION%5d.%5bGRC%5d&amp;ShowOnWeb=true&amp;Lang=en" TargetMode="External"/><Relationship Id="rId24" Type="http://schemas.openxmlformats.org/officeDocument/2006/relationships/hyperlink" Target="http://stats.oecd.org/OECDStat_Metadata/ShowMetadata.ashx?Dataset=SHA&amp;Coords=%5bLOCATION%5d.%5bPRT%5d&amp;ShowOnWeb=true&amp;Lang=en" TargetMode="External"/><Relationship Id="rId32" Type="http://schemas.openxmlformats.org/officeDocument/2006/relationships/comments" Target="../comments1.xml"/><Relationship Id="rId5" Type="http://schemas.openxmlformats.org/officeDocument/2006/relationships/hyperlink" Target="http://stats.oecd.org/OECDStat_Metadata/ShowMetadata.ashx?Dataset=SHA&amp;Coords=%5bLOCATION%5d.%5bCHL%5d&amp;ShowOnWeb=true&amp;Lang=en" TargetMode="External"/><Relationship Id="rId15" Type="http://schemas.openxmlformats.org/officeDocument/2006/relationships/hyperlink" Target="http://stats.oecd.org/OECDStat_Metadata/ShowMetadata.ashx?Dataset=SHA&amp;Coords=%5bLOCATION%5d.%5bITA%5d&amp;ShowOnWeb=true&amp;Lang=en" TargetMode="External"/><Relationship Id="rId23" Type="http://schemas.openxmlformats.org/officeDocument/2006/relationships/hyperlink" Target="http://stats.oecd.org/OECDStat_Metadata/ShowMetadata.ashx?Dataset=SHA&amp;Coords=%5bLOCATION%5d.%5bPOL%5d&amp;ShowOnWeb=true&amp;Lang=en" TargetMode="External"/><Relationship Id="rId28" Type="http://schemas.openxmlformats.org/officeDocument/2006/relationships/hyperlink" Target="http://stats.oecd.org/OECDStat_Metadata/ShowMetadata.ashx?Dataset=SHA&amp;Coords=%5bLOCATION%5d.%5bGBR%5d&amp;ShowOnWeb=true&amp;Lang=en" TargetMode="External"/><Relationship Id="rId10" Type="http://schemas.openxmlformats.org/officeDocument/2006/relationships/hyperlink" Target="http://stats.oecd.org/OECDStat_Metadata/ShowMetadata.ashx?Dataset=SHA&amp;Coords=%5bLOCATION%5d.%5bDEU%5d&amp;ShowOnWeb=true&amp;Lang=en" TargetMode="External"/><Relationship Id="rId19" Type="http://schemas.openxmlformats.org/officeDocument/2006/relationships/hyperlink" Target="http://stats.oecd.org/OECDStat_Metadata/ShowMetadata.ashx?Dataset=SHA&amp;Coords=%5bLOCATION%5d.%5bMEX%5d&amp;ShowOnWeb=true&amp;Lang=en" TargetMode="External"/><Relationship Id="rId31" Type="http://schemas.openxmlformats.org/officeDocument/2006/relationships/vmlDrawing" Target="../drawings/vmlDrawing1.vml"/><Relationship Id="rId4" Type="http://schemas.openxmlformats.org/officeDocument/2006/relationships/hyperlink" Target="http://stats.oecd.org/OECDStat_Metadata/ShowMetadata.ashx?Dataset=SHA&amp;Coords=%5bLOCATION%5d.%5bCAN%5d&amp;ShowOnWeb=true&amp;Lang=en" TargetMode="External"/><Relationship Id="rId9" Type="http://schemas.openxmlformats.org/officeDocument/2006/relationships/hyperlink" Target="http://stats.oecd.org/OECDStat_Metadata/ShowMetadata.ashx?Dataset=SHA&amp;Coords=%5bLOCATION%5d.%5bFRA%5d&amp;ShowOnWeb=true&amp;Lang=en" TargetMode="External"/><Relationship Id="rId14" Type="http://schemas.openxmlformats.org/officeDocument/2006/relationships/hyperlink" Target="http://stats.oecd.org/OECDStat_Metadata/ShowMetadata.ashx?Dataset=SHA&amp;Coords=%5bLOCATION%5d.%5bIRL%5d&amp;ShowOnWeb=true&amp;Lang=en" TargetMode="External"/><Relationship Id="rId22" Type="http://schemas.openxmlformats.org/officeDocument/2006/relationships/hyperlink" Target="http://stats.oecd.org/OECDStat_Metadata/ShowMetadata.ashx?Dataset=SHA&amp;Coords=%5bLOCATION%5d.%5bNOR%5d&amp;ShowOnWeb=true&amp;Lang=en" TargetMode="External"/><Relationship Id="rId27" Type="http://schemas.openxmlformats.org/officeDocument/2006/relationships/hyperlink" Target="http://stats.oecd.org/OECDStat_Metadata/ShowMetadata.ashx?Dataset=SHA&amp;Coords=%5bLOCATION%5d.%5bCHE%5d&amp;ShowOnWeb=true&amp;Lang=en" TargetMode="External"/><Relationship Id="rId30" Type="http://schemas.openxmlformats.org/officeDocument/2006/relationships/hyperlink" Target="https://stats-2.oecd.org/index.aspx?DatasetCode=S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showGridLines="0" tabSelected="1" workbookViewId="0">
      <selection activeCell="B2" sqref="B2:U31"/>
    </sheetView>
  </sheetViews>
  <sheetFormatPr baseColWidth="10" defaultColWidth="8.83203125" defaultRowHeight="13" x14ac:dyDescent="0.15"/>
  <cols>
    <col min="1" max="1" width="26.1640625" customWidth="1"/>
  </cols>
  <sheetData>
    <row r="1" spans="1:21" ht="16" customHeight="1" x14ac:dyDescent="0.15">
      <c r="A1" s="1" t="e">
        <f ca="1">DotStatQuery(#REF!)</f>
        <v>#NAME?</v>
      </c>
    </row>
    <row r="2" spans="1:21" x14ac:dyDescent="0.1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</row>
    <row r="3" spans="1:21" x14ac:dyDescent="0.15">
      <c r="A3" s="4" t="s">
        <v>21</v>
      </c>
      <c r="B3" s="5">
        <v>1472.3979999999999</v>
      </c>
      <c r="C3" s="5">
        <v>1552.0840000000001</v>
      </c>
      <c r="D3" s="5">
        <v>1702.634</v>
      </c>
      <c r="E3" s="5">
        <v>1754.8130000000001</v>
      </c>
      <c r="F3" s="5">
        <v>1926.05</v>
      </c>
      <c r="G3" s="5">
        <v>1964.8119999999999</v>
      </c>
      <c r="H3" s="5">
        <v>2046.759</v>
      </c>
      <c r="I3" s="5">
        <v>2217.7280000000001</v>
      </c>
      <c r="J3" s="5">
        <v>2311.5450000000001</v>
      </c>
      <c r="K3" s="5">
        <v>2368.4189999999999</v>
      </c>
      <c r="L3" s="5">
        <v>2466.3760000000002</v>
      </c>
      <c r="M3" s="5">
        <v>2636.42</v>
      </c>
      <c r="N3" s="5">
        <v>2602.9580000000001</v>
      </c>
      <c r="O3" s="5">
        <v>2655.875</v>
      </c>
      <c r="P3" s="5">
        <v>3084.6590000000001</v>
      </c>
      <c r="Q3" s="5">
        <v>3277.0329999999999</v>
      </c>
      <c r="R3" s="5">
        <v>3465.4520000000002</v>
      </c>
      <c r="S3" s="5">
        <v>3504.0839999999998</v>
      </c>
      <c r="T3" s="5">
        <v>3613.627</v>
      </c>
      <c r="U3" s="5">
        <v>3691.518</v>
      </c>
    </row>
    <row r="4" spans="1:21" x14ac:dyDescent="0.15">
      <c r="A4" s="4" t="s">
        <v>22</v>
      </c>
      <c r="B4" s="6">
        <v>2117.9839999999999</v>
      </c>
      <c r="C4" s="6">
        <v>2144.5630000000001</v>
      </c>
      <c r="D4" s="6">
        <v>2319.4780000000001</v>
      </c>
      <c r="E4" s="6">
        <v>2382.4389999999999</v>
      </c>
      <c r="F4" s="6">
        <v>2502.9630000000002</v>
      </c>
      <c r="G4" s="6">
        <v>2571.288</v>
      </c>
      <c r="H4" s="6">
        <v>2704.4169999999999</v>
      </c>
      <c r="I4" s="6">
        <v>2822.6170000000002</v>
      </c>
      <c r="J4" s="6">
        <v>3005.3330000000001</v>
      </c>
      <c r="K4" s="6">
        <v>3071.7310000000002</v>
      </c>
      <c r="L4" s="6">
        <v>3179.2130000000002</v>
      </c>
      <c r="M4" s="6">
        <v>3242.1149999999998</v>
      </c>
      <c r="N4" s="6">
        <v>3426.502</v>
      </c>
      <c r="O4" s="6">
        <v>3527.9360000000001</v>
      </c>
      <c r="P4" s="6">
        <v>3595.68</v>
      </c>
      <c r="Q4" s="6">
        <v>3661.08</v>
      </c>
      <c r="R4" s="6">
        <v>3842.6790000000001</v>
      </c>
      <c r="S4" s="6">
        <v>3934.348</v>
      </c>
      <c r="T4" s="6">
        <v>4120.625</v>
      </c>
      <c r="U4" s="6">
        <v>4222.6530000000002</v>
      </c>
    </row>
    <row r="5" spans="1:21" x14ac:dyDescent="0.15">
      <c r="A5" s="4" t="s">
        <v>23</v>
      </c>
      <c r="B5" s="5">
        <v>1714.5619999999999</v>
      </c>
      <c r="C5" s="5">
        <v>1812.953</v>
      </c>
      <c r="D5" s="5">
        <v>1951.2929999999999</v>
      </c>
      <c r="E5" s="5">
        <v>2153.1350000000002</v>
      </c>
      <c r="F5" s="5">
        <v>2316.13</v>
      </c>
      <c r="G5" s="5">
        <v>2323.576</v>
      </c>
      <c r="H5" s="5">
        <v>2384.8560000000002</v>
      </c>
      <c r="I5" s="5">
        <v>2455.29</v>
      </c>
      <c r="J5" s="5">
        <v>2687.0030000000002</v>
      </c>
      <c r="K5" s="5">
        <v>2833.1909999999998</v>
      </c>
      <c r="L5" s="5">
        <v>2981.4989999999998</v>
      </c>
      <c r="M5" s="5">
        <v>3089.4450000000002</v>
      </c>
      <c r="N5" s="5">
        <v>3244.8209999999999</v>
      </c>
      <c r="O5" s="5">
        <v>3376.9690000000001</v>
      </c>
      <c r="P5" s="5">
        <v>3498.9369999999999</v>
      </c>
      <c r="Q5" s="5">
        <v>3687.9859999999999</v>
      </c>
      <c r="R5" s="5">
        <v>3857.482</v>
      </c>
      <c r="S5" s="5">
        <v>3955.23</v>
      </c>
      <c r="T5" s="5">
        <v>4107.6360000000004</v>
      </c>
      <c r="U5" s="5">
        <v>4069.576</v>
      </c>
    </row>
    <row r="6" spans="1:21" x14ac:dyDescent="0.15">
      <c r="A6" s="4" t="s">
        <v>24</v>
      </c>
      <c r="B6" s="6">
        <v>1714.748</v>
      </c>
      <c r="C6" s="6">
        <v>1829.327</v>
      </c>
      <c r="D6" s="6">
        <v>1910.43</v>
      </c>
      <c r="E6" s="6">
        <v>2038.4570000000001</v>
      </c>
      <c r="F6" s="6">
        <v>2181.9009999999998</v>
      </c>
      <c r="G6" s="6">
        <v>2299.7730000000001</v>
      </c>
      <c r="H6" s="6">
        <v>2420.9389999999999</v>
      </c>
      <c r="I6" s="6">
        <v>2581.5419999999999</v>
      </c>
      <c r="J6" s="6">
        <v>2685.2</v>
      </c>
      <c r="K6" s="6">
        <v>2769.3789999999999</v>
      </c>
      <c r="L6" s="6">
        <v>2905.5970000000002</v>
      </c>
      <c r="M6" s="6">
        <v>2970.2649999999999</v>
      </c>
      <c r="N6" s="6">
        <v>3055.6729999999998</v>
      </c>
      <c r="O6" s="6">
        <v>3133.0749999999998</v>
      </c>
      <c r="P6" s="6">
        <v>3202.61</v>
      </c>
      <c r="Q6" s="6">
        <v>3275.143</v>
      </c>
      <c r="R6" s="6">
        <v>3514.93</v>
      </c>
      <c r="S6" s="6">
        <v>3591.57</v>
      </c>
      <c r="T6" s="6">
        <v>3708.4319999999998</v>
      </c>
      <c r="U6" s="6">
        <v>3621.3919999999998</v>
      </c>
    </row>
    <row r="7" spans="1:21" x14ac:dyDescent="0.15">
      <c r="A7" s="4" t="s">
        <v>25</v>
      </c>
      <c r="B7" s="5">
        <v>314.58499999999998</v>
      </c>
      <c r="C7" s="5">
        <v>326.815</v>
      </c>
      <c r="D7" s="5">
        <v>344.13499999999999</v>
      </c>
      <c r="E7" s="5">
        <v>368.89600000000002</v>
      </c>
      <c r="F7" s="5">
        <v>406.137</v>
      </c>
      <c r="G7" s="5">
        <v>429.09399999999999</v>
      </c>
      <c r="H7" s="5">
        <v>519.01700000000005</v>
      </c>
      <c r="I7" s="5">
        <v>583.18899999999996</v>
      </c>
      <c r="J7" s="5">
        <v>637.01300000000003</v>
      </c>
      <c r="K7" s="5">
        <v>773.59500000000003</v>
      </c>
      <c r="L7" s="5">
        <v>740.35299999999995</v>
      </c>
      <c r="M7" s="5">
        <v>805.92600000000004</v>
      </c>
      <c r="N7" s="5">
        <v>891.11699999999996</v>
      </c>
      <c r="O7" s="5">
        <v>984.12400000000002</v>
      </c>
      <c r="P7" s="5">
        <v>1034.529</v>
      </c>
      <c r="Q7" s="5">
        <v>1077.144</v>
      </c>
      <c r="R7" s="5">
        <v>1135.48</v>
      </c>
      <c r="S7" s="5">
        <v>1274.817</v>
      </c>
      <c r="T7" s="5">
        <v>1375.913</v>
      </c>
      <c r="U7" s="5">
        <v>1392.0139999999999</v>
      </c>
    </row>
    <row r="8" spans="1:21" x14ac:dyDescent="0.15">
      <c r="A8" s="4" t="s">
        <v>26</v>
      </c>
      <c r="B8" s="6">
        <v>921.39499999999998</v>
      </c>
      <c r="C8" s="6">
        <v>1036.759</v>
      </c>
      <c r="D8" s="6">
        <v>1140.8910000000001</v>
      </c>
      <c r="E8" s="6">
        <v>1245.8820000000001</v>
      </c>
      <c r="F8" s="6">
        <v>1299.808</v>
      </c>
      <c r="G8" s="6">
        <v>1322.9079999999999</v>
      </c>
      <c r="H8" s="6">
        <v>1346.693</v>
      </c>
      <c r="I8" s="6">
        <v>1406.2670000000001</v>
      </c>
      <c r="J8" s="6">
        <v>1496.702</v>
      </c>
      <c r="K8" s="6">
        <v>1706.0160000000001</v>
      </c>
      <c r="L8" s="6">
        <v>1668.2919999999999</v>
      </c>
      <c r="M8" s="6">
        <v>1712.807</v>
      </c>
      <c r="N8" s="6">
        <v>1750.6379999999999</v>
      </c>
      <c r="O8" s="6">
        <v>2047.239</v>
      </c>
      <c r="P8" s="6">
        <v>2120.5909999999999</v>
      </c>
      <c r="Q8" s="6">
        <v>2096.2289999999998</v>
      </c>
      <c r="R8" s="6">
        <v>2189.5970000000002</v>
      </c>
      <c r="S8" s="6">
        <v>2505.9250000000002</v>
      </c>
      <c r="T8" s="6">
        <v>2655.45</v>
      </c>
      <c r="U8" s="6">
        <v>2780.9609999999998</v>
      </c>
    </row>
    <row r="9" spans="1:21" x14ac:dyDescent="0.15">
      <c r="A9" s="4" t="s">
        <v>27</v>
      </c>
      <c r="B9" s="5">
        <v>1949.462</v>
      </c>
      <c r="C9" s="5">
        <v>2062.0509999999999</v>
      </c>
      <c r="D9" s="5">
        <v>2272.5340000000001</v>
      </c>
      <c r="E9" s="5">
        <v>2284.9569999999999</v>
      </c>
      <c r="F9" s="5">
        <v>2440.172</v>
      </c>
      <c r="G9" s="5">
        <v>2524.8679999999999</v>
      </c>
      <c r="H9" s="5">
        <v>2758.6790000000001</v>
      </c>
      <c r="I9" s="5">
        <v>2982.598</v>
      </c>
      <c r="J9" s="5">
        <v>3174.0250000000001</v>
      </c>
      <c r="K9" s="5">
        <v>3391.9920000000002</v>
      </c>
      <c r="L9" s="5">
        <v>3600.18</v>
      </c>
      <c r="M9" s="5">
        <v>3587.5439999999999</v>
      </c>
      <c r="N9" s="5">
        <v>3740.2739999999999</v>
      </c>
      <c r="O9" s="5">
        <v>3822.4520000000002</v>
      </c>
      <c r="P9" s="5">
        <v>3882.26</v>
      </c>
      <c r="Q9" s="5">
        <v>3982.5439999999999</v>
      </c>
      <c r="R9" s="5">
        <v>4125.6909999999998</v>
      </c>
      <c r="S9" s="5">
        <v>4292.6719999999996</v>
      </c>
      <c r="T9" s="5">
        <v>4444.3549999999996</v>
      </c>
      <c r="U9" s="5">
        <v>4486.6390000000001</v>
      </c>
    </row>
    <row r="10" spans="1:21" x14ac:dyDescent="0.15">
      <c r="A10" s="4" t="s">
        <v>28</v>
      </c>
      <c r="B10" s="5">
        <v>1391.184</v>
      </c>
      <c r="C10" s="5">
        <v>1478.384</v>
      </c>
      <c r="D10" s="5">
        <v>1653.49</v>
      </c>
      <c r="E10" s="5">
        <v>1718.5650000000001</v>
      </c>
      <c r="F10" s="5">
        <v>1884.1210000000001</v>
      </c>
      <c r="G10" s="5">
        <v>1960.0909999999999</v>
      </c>
      <c r="H10" s="5">
        <v>2127.288</v>
      </c>
      <c r="I10" s="5">
        <v>2319.3389999999999</v>
      </c>
      <c r="J10" s="5">
        <v>2509.904</v>
      </c>
      <c r="K10" s="5">
        <v>2543.7190000000001</v>
      </c>
      <c r="L10" s="5">
        <v>2641.9389999999999</v>
      </c>
      <c r="M10" s="5">
        <v>2792.7370000000001</v>
      </c>
      <c r="N10" s="5">
        <v>2960.2719999999999</v>
      </c>
      <c r="O10" s="5">
        <v>3065.951</v>
      </c>
      <c r="P10" s="5">
        <v>3086.1320000000001</v>
      </c>
      <c r="Q10" s="5">
        <v>3071.8409999999999</v>
      </c>
      <c r="R10" s="5">
        <v>3127.991</v>
      </c>
      <c r="S10" s="5">
        <v>3221.252</v>
      </c>
      <c r="T10" s="5">
        <v>3332.5369999999998</v>
      </c>
      <c r="U10" s="5">
        <v>3413.665</v>
      </c>
    </row>
    <row r="11" spans="1:21" x14ac:dyDescent="0.15">
      <c r="A11" s="4" t="s">
        <v>29</v>
      </c>
      <c r="B11" s="6">
        <v>2119.9340000000002</v>
      </c>
      <c r="C11" s="6">
        <v>2268.942</v>
      </c>
      <c r="D11" s="6">
        <v>2495.6239999999998</v>
      </c>
      <c r="E11" s="6">
        <v>2407.6660000000002</v>
      </c>
      <c r="F11" s="6">
        <v>2498.2759999999998</v>
      </c>
      <c r="G11" s="6">
        <v>2568.7199999999998</v>
      </c>
      <c r="H11" s="6">
        <v>2660.4079999999999</v>
      </c>
      <c r="I11" s="6">
        <v>2763.6959999999999</v>
      </c>
      <c r="J11" s="6">
        <v>2852.607</v>
      </c>
      <c r="K11" s="6">
        <v>2969.3470000000002</v>
      </c>
      <c r="L11" s="6">
        <v>3084.7379999999998</v>
      </c>
      <c r="M11" s="6">
        <v>3163.0749999999998</v>
      </c>
      <c r="N11" s="6">
        <v>3271.337</v>
      </c>
      <c r="O11" s="6">
        <v>3724.3330000000001</v>
      </c>
      <c r="P11" s="6">
        <v>3802.346</v>
      </c>
      <c r="Q11" s="6">
        <v>3850.12</v>
      </c>
      <c r="R11" s="6">
        <v>4085.1109999999999</v>
      </c>
      <c r="S11" s="6">
        <v>4156.1000000000004</v>
      </c>
      <c r="T11" s="6">
        <v>4250.0060000000003</v>
      </c>
      <c r="U11" s="6">
        <v>4317.8450000000003</v>
      </c>
    </row>
    <row r="12" spans="1:21" x14ac:dyDescent="0.15">
      <c r="A12" s="4" t="s">
        <v>30</v>
      </c>
      <c r="B12" s="5">
        <v>2261.2820000000002</v>
      </c>
      <c r="C12" s="5">
        <v>2348.855</v>
      </c>
      <c r="D12" s="5">
        <v>2514.5410000000002</v>
      </c>
      <c r="E12" s="5">
        <v>2567.4540000000002</v>
      </c>
      <c r="F12" s="5">
        <v>2562.3739999999998</v>
      </c>
      <c r="G12" s="5">
        <v>2584.0949999999998</v>
      </c>
      <c r="H12" s="5">
        <v>2672.886</v>
      </c>
      <c r="I12" s="5">
        <v>2810.127</v>
      </c>
      <c r="J12" s="5">
        <v>2968.3519999999999</v>
      </c>
      <c r="K12" s="5">
        <v>3465.239</v>
      </c>
      <c r="L12" s="5">
        <v>3681.7570000000001</v>
      </c>
      <c r="M12" s="5">
        <v>3795.3649999999998</v>
      </c>
      <c r="N12" s="5">
        <v>3937.6010000000001</v>
      </c>
      <c r="O12" s="5">
        <v>4151.2089999999998</v>
      </c>
      <c r="P12" s="5">
        <v>4338.0649999999996</v>
      </c>
      <c r="Q12" s="5">
        <v>4458.009</v>
      </c>
      <c r="R12" s="5">
        <v>4781.1450000000004</v>
      </c>
      <c r="S12" s="5">
        <v>5036.9440000000004</v>
      </c>
      <c r="T12" s="5">
        <v>5284.5990000000002</v>
      </c>
      <c r="U12" s="5">
        <v>5383.6239999999998</v>
      </c>
    </row>
    <row r="13" spans="1:21" x14ac:dyDescent="0.15">
      <c r="A13" s="4" t="s">
        <v>31</v>
      </c>
      <c r="B13" s="6">
        <v>874.12099999999998</v>
      </c>
      <c r="C13" s="6">
        <v>1075.096</v>
      </c>
      <c r="D13" s="6">
        <v>1179.607</v>
      </c>
      <c r="E13" s="6">
        <v>1226.4100000000001</v>
      </c>
      <c r="F13" s="6">
        <v>1231.5730000000001</v>
      </c>
      <c r="G13" s="6">
        <v>1334.4580000000001</v>
      </c>
      <c r="H13" s="6">
        <v>1418.8910000000001</v>
      </c>
      <c r="I13" s="6">
        <v>1536.2370000000001</v>
      </c>
      <c r="J13" s="6">
        <v>1741.501</v>
      </c>
      <c r="K13" s="6">
        <v>1868.9490000000001</v>
      </c>
      <c r="L13" s="6">
        <v>1796.107</v>
      </c>
      <c r="M13" s="6">
        <v>1504.33</v>
      </c>
      <c r="N13" s="6">
        <v>1418.316</v>
      </c>
      <c r="O13" s="6">
        <v>1296.1579999999999</v>
      </c>
      <c r="P13" s="6">
        <v>1157.5429999999999</v>
      </c>
      <c r="Q13" s="6">
        <v>1240.316</v>
      </c>
      <c r="R13" s="6">
        <v>1386.269</v>
      </c>
      <c r="S13" s="6">
        <v>1363.0409999999999</v>
      </c>
      <c r="T13" s="6">
        <v>1370.67</v>
      </c>
      <c r="U13" s="6">
        <v>1445.289</v>
      </c>
    </row>
    <row r="14" spans="1:21" x14ac:dyDescent="0.15">
      <c r="A14" s="4" t="s">
        <v>32</v>
      </c>
      <c r="B14" s="5">
        <v>631.61699999999996</v>
      </c>
      <c r="C14" s="5">
        <v>678.99</v>
      </c>
      <c r="D14" s="5">
        <v>811.99699999999996</v>
      </c>
      <c r="E14" s="5">
        <v>962.81399999999996</v>
      </c>
      <c r="F14" s="5">
        <v>972.44200000000001</v>
      </c>
      <c r="G14" s="5">
        <v>1034.5630000000001</v>
      </c>
      <c r="H14" s="5">
        <v>1069.329</v>
      </c>
      <c r="I14" s="5">
        <v>984.846</v>
      </c>
      <c r="J14" s="5">
        <v>1027.925</v>
      </c>
      <c r="K14" s="5">
        <v>1019.461</v>
      </c>
      <c r="L14" s="5">
        <v>1117.6369999999999</v>
      </c>
      <c r="M14" s="5">
        <v>1167.3800000000001</v>
      </c>
      <c r="N14" s="5">
        <v>1157.2260000000001</v>
      </c>
      <c r="O14" s="5">
        <v>1213.6110000000001</v>
      </c>
      <c r="P14" s="5">
        <v>1250.1279999999999</v>
      </c>
      <c r="Q14" s="5">
        <v>1289.204</v>
      </c>
      <c r="R14" s="5">
        <v>1361.3579999999999</v>
      </c>
      <c r="S14" s="5">
        <v>1375.7449999999999</v>
      </c>
      <c r="T14" s="5">
        <v>1464.19</v>
      </c>
      <c r="U14" s="5">
        <v>1437.6890000000001</v>
      </c>
    </row>
    <row r="15" spans="1:21" x14ac:dyDescent="0.15">
      <c r="A15" s="4" t="s">
        <v>33</v>
      </c>
      <c r="B15" s="6">
        <v>2147.8110000000001</v>
      </c>
      <c r="C15" s="6">
        <v>2218.511</v>
      </c>
      <c r="D15" s="6">
        <v>2487.864</v>
      </c>
      <c r="E15" s="6">
        <v>2525.17</v>
      </c>
      <c r="F15" s="6">
        <v>2640.9560000000001</v>
      </c>
      <c r="G15" s="6">
        <v>2657.4850000000001</v>
      </c>
      <c r="H15" s="6">
        <v>2768.944</v>
      </c>
      <c r="I15" s="6">
        <v>2919.6419999999998</v>
      </c>
      <c r="J15" s="6">
        <v>2969.924</v>
      </c>
      <c r="K15" s="6">
        <v>2841.7840000000001</v>
      </c>
      <c r="L15" s="6">
        <v>2606.877</v>
      </c>
      <c r="M15" s="6">
        <v>2650.1759999999999</v>
      </c>
      <c r="N15" s="6">
        <v>2716.5059999999999</v>
      </c>
      <c r="O15" s="6">
        <v>2806.6030000000001</v>
      </c>
      <c r="P15" s="6">
        <v>2897.4780000000001</v>
      </c>
      <c r="Q15" s="6">
        <v>3016.9169999999999</v>
      </c>
      <c r="R15" s="6">
        <v>3205.002</v>
      </c>
      <c r="S15" s="6">
        <v>3365.5810000000001</v>
      </c>
      <c r="T15" s="6">
        <v>3489.393</v>
      </c>
      <c r="U15" s="6">
        <v>3575.3870000000002</v>
      </c>
    </row>
    <row r="16" spans="1:21" x14ac:dyDescent="0.15">
      <c r="A16" s="4" t="s">
        <v>34</v>
      </c>
      <c r="B16" s="5">
        <v>1418.3520000000001</v>
      </c>
      <c r="C16" s="5">
        <v>1674.1610000000001</v>
      </c>
      <c r="D16" s="5">
        <v>1910.6869999999999</v>
      </c>
      <c r="E16" s="5">
        <v>2031.1469999999999</v>
      </c>
      <c r="F16" s="5">
        <v>2213.471</v>
      </c>
      <c r="G16" s="5">
        <v>2439.6799999999998</v>
      </c>
      <c r="H16" s="5">
        <v>2494.15</v>
      </c>
      <c r="I16" s="5">
        <v>2681.433</v>
      </c>
      <c r="J16" s="5">
        <v>2889.8980000000001</v>
      </c>
      <c r="K16" s="5">
        <v>2971.2049999999999</v>
      </c>
      <c r="L16" s="5">
        <v>3085.951</v>
      </c>
      <c r="M16" s="5">
        <v>3017.8139999999999</v>
      </c>
      <c r="N16" s="5">
        <v>3127.3389999999999</v>
      </c>
      <c r="O16" s="5">
        <v>3035.3719999999998</v>
      </c>
      <c r="P16" s="5">
        <v>2979.8580000000002</v>
      </c>
      <c r="Q16" s="5">
        <v>3093.1210000000001</v>
      </c>
      <c r="R16" s="5">
        <v>3299.1819999999998</v>
      </c>
      <c r="S16" s="5">
        <v>3417.88</v>
      </c>
      <c r="T16" s="5">
        <v>3610.45</v>
      </c>
      <c r="U16" s="5">
        <v>3692.0230000000001</v>
      </c>
    </row>
    <row r="17" spans="1:21" x14ac:dyDescent="0.15">
      <c r="A17" s="4" t="s">
        <v>35</v>
      </c>
      <c r="B17" s="6">
        <v>1474.943</v>
      </c>
      <c r="C17" s="6">
        <v>1605.6759999999999</v>
      </c>
      <c r="D17" s="6">
        <v>1718.586</v>
      </c>
      <c r="E17" s="6">
        <v>1724.65</v>
      </c>
      <c r="F17" s="6">
        <v>1868.7739999999999</v>
      </c>
      <c r="G17" s="6">
        <v>1940.3910000000001</v>
      </c>
      <c r="H17" s="6">
        <v>2070.1060000000002</v>
      </c>
      <c r="I17" s="6">
        <v>2088.8000000000002</v>
      </c>
      <c r="J17" s="6">
        <v>2277.7930000000001</v>
      </c>
      <c r="K17" s="6">
        <v>2300.2069999999999</v>
      </c>
      <c r="L17" s="6">
        <v>2435.5650000000001</v>
      </c>
      <c r="M17" s="6">
        <v>2386.0360000000001</v>
      </c>
      <c r="N17" s="6">
        <v>2330.64</v>
      </c>
      <c r="O17" s="6">
        <v>2305.279</v>
      </c>
      <c r="P17" s="6">
        <v>2290.549</v>
      </c>
      <c r="Q17" s="6">
        <v>2299.259</v>
      </c>
      <c r="R17" s="6">
        <v>2435.9079999999999</v>
      </c>
      <c r="S17" s="6">
        <v>2489.3690000000001</v>
      </c>
      <c r="T17" s="6">
        <v>2582.087</v>
      </c>
      <c r="U17" s="6">
        <v>2629.221</v>
      </c>
    </row>
    <row r="18" spans="1:21" x14ac:dyDescent="0.15">
      <c r="A18" s="4" t="s">
        <v>36</v>
      </c>
      <c r="B18" s="5">
        <v>1486.184</v>
      </c>
      <c r="C18" s="5">
        <v>1575.201</v>
      </c>
      <c r="D18" s="5">
        <v>1667.6559999999999</v>
      </c>
      <c r="E18" s="5">
        <v>1754.7560000000001</v>
      </c>
      <c r="F18" s="5">
        <v>1849.261</v>
      </c>
      <c r="G18" s="5">
        <v>2005.8109999999999</v>
      </c>
      <c r="H18" s="5">
        <v>2057.21</v>
      </c>
      <c r="I18" s="5">
        <v>2185.5369999999998</v>
      </c>
      <c r="J18" s="5">
        <v>2272.127</v>
      </c>
      <c r="K18" s="5">
        <v>2415.5569999999998</v>
      </c>
      <c r="L18" s="5">
        <v>2596.4299999999998</v>
      </c>
      <c r="M18" s="5">
        <v>3132.5320000000002</v>
      </c>
      <c r="N18" s="5">
        <v>3332.6909999999998</v>
      </c>
      <c r="O18" s="5">
        <v>3630.172</v>
      </c>
      <c r="P18" s="5">
        <v>3640.9270000000001</v>
      </c>
      <c r="Q18" s="5">
        <v>3796.8139999999999</v>
      </c>
      <c r="R18" s="5">
        <v>3610.1190000000001</v>
      </c>
      <c r="S18" s="5">
        <v>3716.2689999999998</v>
      </c>
      <c r="T18" s="5">
        <v>3815.16</v>
      </c>
      <c r="U18" s="5">
        <v>3871.4050000000002</v>
      </c>
    </row>
    <row r="19" spans="1:21" x14ac:dyDescent="0.15">
      <c r="A19" s="4" t="s">
        <v>37</v>
      </c>
      <c r="B19" s="6">
        <v>390.75200000000001</v>
      </c>
      <c r="C19" s="6">
        <v>504.83499999999998</v>
      </c>
      <c r="D19" s="6">
        <v>522.98299999999995</v>
      </c>
      <c r="E19" s="6">
        <v>570.65800000000002</v>
      </c>
      <c r="F19" s="6">
        <v>611.11400000000003</v>
      </c>
      <c r="G19" s="6">
        <v>673.47900000000004</v>
      </c>
      <c r="H19" s="6">
        <v>782.05200000000002</v>
      </c>
      <c r="I19" s="6">
        <v>874.70899999999995</v>
      </c>
      <c r="J19" s="6">
        <v>918.67200000000003</v>
      </c>
      <c r="K19" s="6">
        <v>1025.579</v>
      </c>
      <c r="L19" s="6">
        <v>1144.2729999999999</v>
      </c>
      <c r="M19" s="6">
        <v>1180.6210000000001</v>
      </c>
      <c r="N19" s="6">
        <v>1224.8050000000001</v>
      </c>
      <c r="O19" s="6">
        <v>1258.6949999999999</v>
      </c>
      <c r="P19" s="6">
        <v>1313.373</v>
      </c>
      <c r="Q19" s="6">
        <v>1466.47</v>
      </c>
      <c r="R19" s="6">
        <v>1571.99</v>
      </c>
      <c r="S19" s="6">
        <v>1670.0250000000001</v>
      </c>
      <c r="T19" s="6">
        <v>1849.2660000000001</v>
      </c>
      <c r="U19" s="6">
        <v>1998.479</v>
      </c>
    </row>
    <row r="20" spans="1:21" x14ac:dyDescent="0.15">
      <c r="A20" s="4" t="s">
        <v>38</v>
      </c>
      <c r="B20" s="5">
        <v>2796.3380000000002</v>
      </c>
      <c r="C20" s="5">
        <v>3073.2559999999999</v>
      </c>
      <c r="D20" s="5">
        <v>3528.1689999999999</v>
      </c>
      <c r="E20" s="5">
        <v>3656.7359999999999</v>
      </c>
      <c r="F20" s="5">
        <v>3980.0709999999999</v>
      </c>
      <c r="G20" s="5">
        <v>4060.933</v>
      </c>
      <c r="H20" s="5">
        <v>4266.8580000000002</v>
      </c>
      <c r="I20" s="5">
        <v>4282.4889999999996</v>
      </c>
      <c r="J20" s="5">
        <v>4742.93</v>
      </c>
      <c r="K20" s="5">
        <v>4896.3469999999998</v>
      </c>
      <c r="L20" s="5">
        <v>4776.51</v>
      </c>
      <c r="M20" s="5">
        <v>4016.9050000000002</v>
      </c>
      <c r="N20" s="5">
        <v>3665.6669999999999</v>
      </c>
      <c r="O20" s="5">
        <v>3852.67</v>
      </c>
      <c r="P20" s="5">
        <v>3929.2629999999999</v>
      </c>
      <c r="Q20" s="5">
        <v>3925.5369999999998</v>
      </c>
      <c r="R20" s="5">
        <v>4066.9070000000002</v>
      </c>
      <c r="S20" s="5">
        <v>4188.41</v>
      </c>
      <c r="T20" s="5">
        <v>4449.3630000000003</v>
      </c>
      <c r="U20" s="5">
        <v>4570.5730000000003</v>
      </c>
    </row>
    <row r="21" spans="1:21" x14ac:dyDescent="0.15">
      <c r="A21" s="4" t="s">
        <v>39</v>
      </c>
      <c r="B21" s="6">
        <v>233.87200000000001</v>
      </c>
      <c r="C21" s="6">
        <v>248.43899999999999</v>
      </c>
      <c r="D21" s="6">
        <v>256.346</v>
      </c>
      <c r="E21" s="6">
        <v>285.97000000000003</v>
      </c>
      <c r="F21" s="6">
        <v>333.73500000000001</v>
      </c>
      <c r="G21" s="6">
        <v>325.89600000000002</v>
      </c>
      <c r="H21" s="6">
        <v>352.09699999999998</v>
      </c>
      <c r="I21" s="6">
        <v>381.48200000000003</v>
      </c>
      <c r="J21" s="6">
        <v>413.166</v>
      </c>
      <c r="K21" s="6">
        <v>425.637</v>
      </c>
      <c r="L21" s="6">
        <v>448.85</v>
      </c>
      <c r="M21" s="6">
        <v>481.58600000000001</v>
      </c>
      <c r="N21" s="6">
        <v>516.72799999999995</v>
      </c>
      <c r="O21" s="6">
        <v>538.89300000000003</v>
      </c>
      <c r="P21" s="6">
        <v>515.37800000000004</v>
      </c>
      <c r="Q21" s="6">
        <v>554.68299999999999</v>
      </c>
      <c r="R21" s="6">
        <v>565.51800000000003</v>
      </c>
      <c r="S21" s="6">
        <v>555.71100000000001</v>
      </c>
      <c r="T21" s="6">
        <v>556.91800000000001</v>
      </c>
      <c r="U21" s="6">
        <v>549.31399999999996</v>
      </c>
    </row>
    <row r="22" spans="1:21" x14ac:dyDescent="0.15">
      <c r="A22" s="4" t="s">
        <v>40</v>
      </c>
      <c r="B22" s="5">
        <v>1827.749</v>
      </c>
      <c r="C22" s="5">
        <v>2007.549</v>
      </c>
      <c r="D22" s="5">
        <v>2307.21</v>
      </c>
      <c r="E22" s="5">
        <v>2321.614</v>
      </c>
      <c r="F22" s="5">
        <v>2397.3150000000001</v>
      </c>
      <c r="G22" s="5">
        <v>2451.884</v>
      </c>
      <c r="H22" s="5">
        <v>3207.3989999999999</v>
      </c>
      <c r="I22" s="5">
        <v>3427.5920000000001</v>
      </c>
      <c r="J22" s="5">
        <v>3619.8530000000001</v>
      </c>
      <c r="K22" s="5">
        <v>3687.8270000000002</v>
      </c>
      <c r="L22" s="5">
        <v>3730.7280000000001</v>
      </c>
      <c r="M22" s="5">
        <v>3775.5070000000001</v>
      </c>
      <c r="N22" s="5">
        <v>3926.8560000000002</v>
      </c>
      <c r="O22" s="5">
        <v>3995.567</v>
      </c>
      <c r="P22" s="5">
        <v>4000.9749999999999</v>
      </c>
      <c r="Q22" s="5">
        <v>4009.6869999999999</v>
      </c>
      <c r="R22" s="5">
        <v>4137.2309999999998</v>
      </c>
      <c r="S22" s="5">
        <v>4291.7250000000004</v>
      </c>
      <c r="T22" s="5">
        <v>4501.2259999999997</v>
      </c>
      <c r="U22" s="5">
        <v>4665.0129999999999</v>
      </c>
    </row>
    <row r="23" spans="1:21" x14ac:dyDescent="0.15">
      <c r="A23" s="4" t="s">
        <v>41</v>
      </c>
      <c r="B23" s="6">
        <v>1294.6669999999999</v>
      </c>
      <c r="C23" s="6">
        <v>1375.231</v>
      </c>
      <c r="D23" s="6">
        <v>1496.385</v>
      </c>
      <c r="E23" s="6">
        <v>1501.8030000000001</v>
      </c>
      <c r="F23" s="6">
        <v>1654.6369999999999</v>
      </c>
      <c r="G23" s="6">
        <v>1748.481</v>
      </c>
      <c r="H23" s="6">
        <v>1952.9929999999999</v>
      </c>
      <c r="I23" s="6">
        <v>2093.3290000000002</v>
      </c>
      <c r="J23" s="6">
        <v>2288.0540000000001</v>
      </c>
      <c r="K23" s="6">
        <v>2389.413</v>
      </c>
      <c r="L23" s="6">
        <v>2469.8249999999998</v>
      </c>
      <c r="M23" s="6">
        <v>2533.393</v>
      </c>
      <c r="N23" s="6">
        <v>2608.1750000000002</v>
      </c>
      <c r="O23" s="6">
        <v>2712.3580000000002</v>
      </c>
      <c r="P23" s="6">
        <v>2777.442</v>
      </c>
      <c r="Q23" s="6">
        <v>2765.1959999999999</v>
      </c>
      <c r="R23" s="6">
        <v>2935.828</v>
      </c>
      <c r="S23" s="6">
        <v>3019.5770000000002</v>
      </c>
      <c r="T23" s="6">
        <v>3100.0790000000002</v>
      </c>
      <c r="U23" s="6">
        <v>3384.1170000000002</v>
      </c>
    </row>
    <row r="24" spans="1:21" x14ac:dyDescent="0.15">
      <c r="A24" s="4" t="s">
        <v>42</v>
      </c>
      <c r="B24" s="5">
        <v>2282.0259999999998</v>
      </c>
      <c r="C24" s="5">
        <v>2432.9569999999999</v>
      </c>
      <c r="D24" s="5">
        <v>2809.1579999999999</v>
      </c>
      <c r="E24" s="5">
        <v>2867.5419999999999</v>
      </c>
      <c r="F24" s="5">
        <v>3034.8</v>
      </c>
      <c r="G24" s="5">
        <v>3106.8380000000002</v>
      </c>
      <c r="H24" s="5">
        <v>3305.6410000000001</v>
      </c>
      <c r="I24" s="5">
        <v>3608.9969999999998</v>
      </c>
      <c r="J24" s="5">
        <v>3873.9960000000001</v>
      </c>
      <c r="K24" s="5">
        <v>3947.9670000000001</v>
      </c>
      <c r="L24" s="5">
        <v>4045.308</v>
      </c>
      <c r="M24" s="5">
        <v>4191.7610000000004</v>
      </c>
      <c r="N24" s="5">
        <v>4415.3879999999999</v>
      </c>
      <c r="O24" s="5">
        <v>4664.2510000000002</v>
      </c>
      <c r="P24" s="5">
        <v>4867.7619999999997</v>
      </c>
      <c r="Q24" s="5">
        <v>4897.3159999999998</v>
      </c>
      <c r="R24" s="5">
        <v>5040.9920000000002</v>
      </c>
      <c r="S24" s="5">
        <v>5306.7449999999999</v>
      </c>
      <c r="T24" s="5">
        <v>5566.509</v>
      </c>
      <c r="U24" s="5">
        <v>5551.3509999999997</v>
      </c>
    </row>
    <row r="25" spans="1:21" x14ac:dyDescent="0.15">
      <c r="A25" s="4" t="s">
        <v>43</v>
      </c>
      <c r="B25" s="6">
        <v>416.13400000000001</v>
      </c>
      <c r="C25" s="6">
        <v>474.68799999999999</v>
      </c>
      <c r="D25" s="6">
        <v>545.26400000000001</v>
      </c>
      <c r="E25" s="6">
        <v>540.50599999999997</v>
      </c>
      <c r="F25" s="6">
        <v>567.32799999999997</v>
      </c>
      <c r="G25" s="6">
        <v>573.16200000000003</v>
      </c>
      <c r="H25" s="6">
        <v>625.51499999999999</v>
      </c>
      <c r="I25" s="6">
        <v>736.43600000000004</v>
      </c>
      <c r="J25" s="6">
        <v>876.30600000000004</v>
      </c>
      <c r="K25" s="6">
        <v>940.39300000000003</v>
      </c>
      <c r="L25" s="6">
        <v>1020.294</v>
      </c>
      <c r="M25" s="6">
        <v>1060.691</v>
      </c>
      <c r="N25" s="6">
        <v>1105.6659999999999</v>
      </c>
      <c r="O25" s="6">
        <v>1180.5340000000001</v>
      </c>
      <c r="P25" s="6">
        <v>1192.057</v>
      </c>
      <c r="Q25" s="6">
        <v>1268.5630000000001</v>
      </c>
      <c r="R25" s="6">
        <v>1358.0630000000001</v>
      </c>
      <c r="S25" s="6">
        <v>1429.2249999999999</v>
      </c>
      <c r="T25" s="6">
        <v>1506.1420000000001</v>
      </c>
      <c r="U25" s="6">
        <v>1602.31</v>
      </c>
    </row>
    <row r="26" spans="1:21" x14ac:dyDescent="0.15">
      <c r="A26" s="4" t="s">
        <v>44</v>
      </c>
      <c r="B26" s="5">
        <v>1146.403</v>
      </c>
      <c r="C26" s="5">
        <v>1200.502</v>
      </c>
      <c r="D26" s="5">
        <v>1324.828</v>
      </c>
      <c r="E26" s="5">
        <v>1357.83</v>
      </c>
      <c r="F26" s="5">
        <v>1472.3579999999999</v>
      </c>
      <c r="G26" s="5">
        <v>1549.19</v>
      </c>
      <c r="H26" s="5">
        <v>1422.5450000000001</v>
      </c>
      <c r="I26" s="5">
        <v>1443.644</v>
      </c>
      <c r="J26" s="5">
        <v>1531.1949999999999</v>
      </c>
      <c r="K26" s="5">
        <v>1604.9079999999999</v>
      </c>
      <c r="L26" s="5">
        <v>1717.4469999999999</v>
      </c>
      <c r="M26" s="5">
        <v>1586.4970000000001</v>
      </c>
      <c r="N26" s="5">
        <v>1484.8340000000001</v>
      </c>
      <c r="O26" s="5">
        <v>1561.229</v>
      </c>
      <c r="P26" s="5">
        <v>1568.2380000000001</v>
      </c>
      <c r="Q26" s="5">
        <v>1626.9259999999999</v>
      </c>
      <c r="R26" s="5">
        <v>1735.9380000000001</v>
      </c>
      <c r="S26" s="5">
        <v>1779.633</v>
      </c>
      <c r="T26" s="5">
        <v>1918.9570000000001</v>
      </c>
      <c r="U26" s="5">
        <v>1961.577</v>
      </c>
    </row>
    <row r="27" spans="1:21" x14ac:dyDescent="0.15">
      <c r="A27" s="4" t="s">
        <v>45</v>
      </c>
      <c r="B27" s="5">
        <v>1087.549</v>
      </c>
      <c r="C27" s="5">
        <v>1161.7470000000001</v>
      </c>
      <c r="D27" s="5">
        <v>1281.2139999999999</v>
      </c>
      <c r="E27" s="5">
        <v>1432.777</v>
      </c>
      <c r="F27" s="5">
        <v>1514.798</v>
      </c>
      <c r="G27" s="5">
        <v>1583.1389999999999</v>
      </c>
      <c r="H27" s="5">
        <v>1726.24</v>
      </c>
      <c r="I27" s="5">
        <v>1796.5260000000001</v>
      </c>
      <c r="J27" s="5">
        <v>1958.1020000000001</v>
      </c>
      <c r="K27" s="5">
        <v>2059.5889999999999</v>
      </c>
      <c r="L27" s="5">
        <v>2037.9349999999999</v>
      </c>
      <c r="M27" s="5">
        <v>2009.011</v>
      </c>
      <c r="N27" s="5">
        <v>1967.2139999999999</v>
      </c>
      <c r="O27" s="5">
        <v>1962.7149999999999</v>
      </c>
      <c r="P27" s="5">
        <v>2007.954</v>
      </c>
      <c r="Q27" s="5">
        <v>2153.4299999999998</v>
      </c>
      <c r="R27" s="5">
        <v>2252.9830000000002</v>
      </c>
      <c r="S27" s="5">
        <v>2339.4189999999999</v>
      </c>
      <c r="T27" s="5">
        <v>2406.8319999999999</v>
      </c>
      <c r="U27" s="5">
        <v>2487.52</v>
      </c>
    </row>
    <row r="28" spans="1:21" x14ac:dyDescent="0.15">
      <c r="A28" s="4" t="s">
        <v>46</v>
      </c>
      <c r="B28" s="6">
        <v>1878.4880000000001</v>
      </c>
      <c r="C28" s="6">
        <v>1971.29</v>
      </c>
      <c r="D28" s="6">
        <v>2177.7939999999999</v>
      </c>
      <c r="E28" s="6">
        <v>2224.4859999999999</v>
      </c>
      <c r="F28" s="6">
        <v>2293.027</v>
      </c>
      <c r="G28" s="6">
        <v>2313.0070000000001</v>
      </c>
      <c r="H28" s="6">
        <v>2479.0390000000002</v>
      </c>
      <c r="I28" s="6">
        <v>2661.8229999999999</v>
      </c>
      <c r="J28" s="6">
        <v>2817.4540000000002</v>
      </c>
      <c r="K28" s="6">
        <v>2847.62</v>
      </c>
      <c r="L28" s="6">
        <v>2830.3020000000001</v>
      </c>
      <c r="M28" s="6">
        <v>3767.4760000000001</v>
      </c>
      <c r="N28" s="6">
        <v>3941.04</v>
      </c>
      <c r="O28" s="6">
        <v>3975.8130000000001</v>
      </c>
      <c r="P28" s="6">
        <v>4088.4079999999999</v>
      </c>
      <c r="Q28" s="6">
        <v>4201.518</v>
      </c>
      <c r="R28" s="6">
        <v>4320.616</v>
      </c>
      <c r="S28" s="6">
        <v>4421.1930000000002</v>
      </c>
      <c r="T28" s="6">
        <v>4594.71</v>
      </c>
      <c r="U28" s="6">
        <v>4586.2610000000004</v>
      </c>
    </row>
    <row r="29" spans="1:21" x14ac:dyDescent="0.15">
      <c r="A29" s="4" t="s">
        <v>47</v>
      </c>
      <c r="B29" s="5">
        <v>1933.107</v>
      </c>
      <c r="C29" s="5">
        <v>2110.19</v>
      </c>
      <c r="D29" s="5">
        <v>2369.172</v>
      </c>
      <c r="E29" s="5">
        <v>2412.873</v>
      </c>
      <c r="F29" s="5">
        <v>2529.3519999999999</v>
      </c>
      <c r="G29" s="5">
        <v>2589.2080000000001</v>
      </c>
      <c r="H29" s="5">
        <v>2644.7280000000001</v>
      </c>
      <c r="I29" s="5">
        <v>2870.1689999999999</v>
      </c>
      <c r="J29" s="5">
        <v>3117.8229999999999</v>
      </c>
      <c r="K29" s="5">
        <v>3241.79</v>
      </c>
      <c r="L29" s="5">
        <v>3271.69</v>
      </c>
      <c r="M29" s="5">
        <v>3408.5479999999998</v>
      </c>
      <c r="N29" s="5">
        <v>3682.5010000000002</v>
      </c>
      <c r="O29" s="5">
        <v>3966.8159999999998</v>
      </c>
      <c r="P29" s="5">
        <v>4070.17</v>
      </c>
      <c r="Q29" s="5">
        <v>4282.4340000000002</v>
      </c>
      <c r="R29" s="5">
        <v>4456.9380000000001</v>
      </c>
      <c r="S29" s="5">
        <v>4522.9470000000001</v>
      </c>
      <c r="T29" s="5">
        <v>4554.2740000000003</v>
      </c>
      <c r="U29" s="5">
        <v>4635.0439999999999</v>
      </c>
    </row>
    <row r="30" spans="1:21" x14ac:dyDescent="0.15">
      <c r="A30" s="4" t="s">
        <v>48</v>
      </c>
      <c r="B30" s="6">
        <v>1444.578</v>
      </c>
      <c r="C30" s="6">
        <v>1604.4090000000001</v>
      </c>
      <c r="D30" s="6">
        <v>1812.5509999999999</v>
      </c>
      <c r="E30" s="6">
        <v>1931.396</v>
      </c>
      <c r="F30" s="6">
        <v>2180.527</v>
      </c>
      <c r="G30" s="6">
        <v>2211.7730000000001</v>
      </c>
      <c r="H30" s="6">
        <v>2394.1039999999998</v>
      </c>
      <c r="I30" s="6">
        <v>2457.402</v>
      </c>
      <c r="J30" s="6">
        <v>2596.998</v>
      </c>
      <c r="K30" s="6">
        <v>2688.7159999999999</v>
      </c>
      <c r="L30" s="6">
        <v>2768.7240000000002</v>
      </c>
      <c r="M30" s="6">
        <v>2810.5929999999998</v>
      </c>
      <c r="N30" s="6">
        <v>2895.2159999999999</v>
      </c>
      <c r="O30" s="6">
        <v>2928.0990000000002</v>
      </c>
      <c r="P30" s="6">
        <v>3002.7130000000002</v>
      </c>
      <c r="Q30" s="6">
        <v>3034.8330000000001</v>
      </c>
      <c r="R30" s="6">
        <v>3174.67</v>
      </c>
      <c r="S30" s="6">
        <v>3230.6089999999999</v>
      </c>
      <c r="T30" s="6">
        <v>3322.0369999999998</v>
      </c>
      <c r="U30" s="6">
        <v>3480.1729999999998</v>
      </c>
    </row>
    <row r="31" spans="1:21" x14ac:dyDescent="0.15">
      <c r="A31" s="4" t="s">
        <v>49</v>
      </c>
      <c r="B31" s="5">
        <v>2013.7760000000001</v>
      </c>
      <c r="C31" s="5">
        <v>2216.2620000000002</v>
      </c>
      <c r="D31" s="5">
        <v>2403.8159999999998</v>
      </c>
      <c r="E31" s="5">
        <v>2576.0830000000001</v>
      </c>
      <c r="F31" s="5">
        <v>2757.3620000000001</v>
      </c>
      <c r="G31" s="5">
        <v>2924.6239999999998</v>
      </c>
      <c r="H31" s="5">
        <v>3139.7049999999999</v>
      </c>
      <c r="I31" s="5">
        <v>3308.6759999999999</v>
      </c>
      <c r="J31" s="5">
        <v>3496.241</v>
      </c>
      <c r="K31" s="5">
        <v>3696.701</v>
      </c>
      <c r="L31" s="5">
        <v>3837.9589999999998</v>
      </c>
      <c r="M31" s="5">
        <v>3943.27</v>
      </c>
      <c r="N31" s="5">
        <v>4066.6990000000001</v>
      </c>
      <c r="O31" s="5">
        <v>4213.7079999999996</v>
      </c>
      <c r="P31" s="5">
        <v>7371.2560000000003</v>
      </c>
      <c r="Q31" s="5">
        <v>7756.0429999999997</v>
      </c>
      <c r="R31" s="5">
        <v>8050.1379999999999</v>
      </c>
      <c r="S31" s="5">
        <v>8321.982</v>
      </c>
      <c r="T31" s="5">
        <v>8664.4509999999991</v>
      </c>
      <c r="U31" s="5">
        <v>8991.8240000000005</v>
      </c>
    </row>
    <row r="32" spans="1:21" x14ac:dyDescent="0.15">
      <c r="A32" s="7" t="s">
        <v>50</v>
      </c>
    </row>
    <row r="33" spans="1:1" x14ac:dyDescent="0.15">
      <c r="A33" s="8" t="s">
        <v>51</v>
      </c>
    </row>
    <row r="34" spans="1:1" x14ac:dyDescent="0.15">
      <c r="A34" s="9" t="s">
        <v>52</v>
      </c>
    </row>
    <row r="35" spans="1:1" x14ac:dyDescent="0.15">
      <c r="A35" s="9" t="s">
        <v>53</v>
      </c>
    </row>
    <row r="36" spans="1:1" x14ac:dyDescent="0.15">
      <c r="A36" s="9" t="s">
        <v>54</v>
      </c>
    </row>
    <row r="37" spans="1:1" x14ac:dyDescent="0.15">
      <c r="A37" s="9" t="s">
        <v>55</v>
      </c>
    </row>
  </sheetData>
  <hyperlinks>
    <hyperlink ref="A3" r:id="rId1" display="http://stats.oecd.org/OECDStat_Metadata/ShowMetadata.ashx?Dataset=SHA&amp;Coords=[LOCATION].[AUS]&amp;ShowOnWeb=true&amp;Lang=en" xr:uid="{00000000-0004-0000-0000-000000000000}"/>
    <hyperlink ref="A4" r:id="rId2" display="http://stats.oecd.org/OECDStat_Metadata/ShowMetadata.ashx?Dataset=SHA&amp;Coords=[LOCATION].[AUT]&amp;ShowOnWeb=true&amp;Lang=en" xr:uid="{00000000-0004-0000-0000-000003000000}"/>
    <hyperlink ref="A5" r:id="rId3" display="http://stats.oecd.org/OECDStat_Metadata/ShowMetadata.ashx?Dataset=SHA&amp;Coords=[LOCATION].[BEL]&amp;ShowOnWeb=true&amp;Lang=en" xr:uid="{00000000-0004-0000-0000-000005000000}"/>
    <hyperlink ref="A6" r:id="rId4" display="http://stats.oecd.org/OECDStat_Metadata/ShowMetadata.ashx?Dataset=SHA&amp;Coords=[LOCATION].[CAN]&amp;ShowOnWeb=true&amp;Lang=en" xr:uid="{00000000-0004-0000-0000-000007000000}"/>
    <hyperlink ref="A7" r:id="rId5" display="http://stats.oecd.org/OECDStat_Metadata/ShowMetadata.ashx?Dataset=SHA&amp;Coords=[LOCATION].[CHL]&amp;ShowOnWeb=true&amp;Lang=en" xr:uid="{00000000-0004-0000-0000-000009000000}"/>
    <hyperlink ref="A8" r:id="rId6" display="http://stats.oecd.org/OECDStat_Metadata/ShowMetadata.ashx?Dataset=SHA&amp;Coords=[LOCATION].[CZE]&amp;ShowOnWeb=true&amp;Lang=en" xr:uid="{00000000-0004-0000-0000-00000B000000}"/>
    <hyperlink ref="A9" r:id="rId7" display="http://stats.oecd.org/OECDStat_Metadata/ShowMetadata.ashx?Dataset=SHA&amp;Coords=[LOCATION].[DNK]&amp;ShowOnWeb=true&amp;Lang=en" xr:uid="{00000000-0004-0000-0000-00000D000000}"/>
    <hyperlink ref="A10" r:id="rId8" display="http://stats.oecd.org/OECDStat_Metadata/ShowMetadata.ashx?Dataset=SHA&amp;Coords=[LOCATION].[FIN]&amp;ShowOnWeb=true&amp;Lang=en" xr:uid="{00000000-0004-0000-0000-00000F000000}"/>
    <hyperlink ref="A11" r:id="rId9" display="http://stats.oecd.org/OECDStat_Metadata/ShowMetadata.ashx?Dataset=SHA&amp;Coords=[LOCATION].[FRA]&amp;ShowOnWeb=true&amp;Lang=en" xr:uid="{00000000-0004-0000-0000-000011000000}"/>
    <hyperlink ref="A12" r:id="rId10" display="http://stats.oecd.org/OECDStat_Metadata/ShowMetadata.ashx?Dataset=SHA&amp;Coords=[LOCATION].[DEU]&amp;ShowOnWeb=true&amp;Lang=en" xr:uid="{00000000-0004-0000-0000-000013000000}"/>
    <hyperlink ref="A13" r:id="rId11" display="http://stats.oecd.org/OECDStat_Metadata/ShowMetadata.ashx?Dataset=SHA&amp;Coords=[LOCATION].[GRC]&amp;ShowOnWeb=true&amp;Lang=en" xr:uid="{00000000-0004-0000-0000-000015000000}"/>
    <hyperlink ref="A14" r:id="rId12" display="http://stats.oecd.org/OECDStat_Metadata/ShowMetadata.ashx?Dataset=SHA&amp;Coords=[LOCATION].[HUN]&amp;ShowOnWeb=true&amp;Lang=en" xr:uid="{00000000-0004-0000-0000-000017000000}"/>
    <hyperlink ref="A15" r:id="rId13" display="http://stats.oecd.org/OECDStat_Metadata/ShowMetadata.ashx?Dataset=SHA&amp;Coords=[LOCATION].[ISL]&amp;ShowOnWeb=true&amp;Lang=en" xr:uid="{00000000-0004-0000-0000-000019000000}"/>
    <hyperlink ref="A16" r:id="rId14" display="http://stats.oecd.org/OECDStat_Metadata/ShowMetadata.ashx?Dataset=SHA&amp;Coords=[LOCATION].[IRL]&amp;ShowOnWeb=true&amp;Lang=en" xr:uid="{00000000-0004-0000-0000-00001B000000}"/>
    <hyperlink ref="A17" r:id="rId15" display="http://stats.oecd.org/OECDStat_Metadata/ShowMetadata.ashx?Dataset=SHA&amp;Coords=[LOCATION].[ITA]&amp;ShowOnWeb=true&amp;Lang=en" xr:uid="{00000000-0004-0000-0000-00001D000000}"/>
    <hyperlink ref="A18" r:id="rId16" display="http://stats.oecd.org/OECDStat_Metadata/ShowMetadata.ashx?Dataset=SHA&amp;Coords=[LOCATION].[JPN]&amp;ShowOnWeb=true&amp;Lang=en" xr:uid="{00000000-0004-0000-0000-00001F000000}"/>
    <hyperlink ref="A19" r:id="rId17" display="http://stats.oecd.org/OECDStat_Metadata/ShowMetadata.ashx?Dataset=SHA&amp;Coords=[LOCATION].[KOR]&amp;ShowOnWeb=true&amp;Lang=en" xr:uid="{00000000-0004-0000-0000-000021000000}"/>
    <hyperlink ref="A20" r:id="rId18" display="http://stats.oecd.org/OECDStat_Metadata/ShowMetadata.ashx?Dataset=SHA&amp;Coords=[LOCATION].[LUX]&amp;ShowOnWeb=true&amp;Lang=en" xr:uid="{00000000-0004-0000-0000-000023000000}"/>
    <hyperlink ref="A21" r:id="rId19" display="http://stats.oecd.org/OECDStat_Metadata/ShowMetadata.ashx?Dataset=SHA&amp;Coords=[LOCATION].[MEX]&amp;ShowOnWeb=true&amp;Lang=en" xr:uid="{00000000-0004-0000-0000-000025000000}"/>
    <hyperlink ref="A22" r:id="rId20" display="http://stats.oecd.org/OECDStat_Metadata/ShowMetadata.ashx?Dataset=SHA&amp;Coords=[LOCATION].[NLD]&amp;ShowOnWeb=true&amp;Lang=en" xr:uid="{00000000-0004-0000-0000-000027000000}"/>
    <hyperlink ref="A23" r:id="rId21" display="http://stats.oecd.org/OECDStat_Metadata/ShowMetadata.ashx?Dataset=SHA&amp;Coords=[LOCATION].[NZL]&amp;ShowOnWeb=true&amp;Lang=en" xr:uid="{00000000-0004-0000-0000-000029000000}"/>
    <hyperlink ref="A24" r:id="rId22" display="http://stats.oecd.org/OECDStat_Metadata/ShowMetadata.ashx?Dataset=SHA&amp;Coords=[LOCATION].[NOR]&amp;ShowOnWeb=true&amp;Lang=en" xr:uid="{00000000-0004-0000-0000-00002C000000}"/>
    <hyperlink ref="A25" r:id="rId23" display="http://stats.oecd.org/OECDStat_Metadata/ShowMetadata.ashx?Dataset=SHA&amp;Coords=[LOCATION].[POL]&amp;ShowOnWeb=true&amp;Lang=en" xr:uid="{00000000-0004-0000-0000-00002E000000}"/>
    <hyperlink ref="A26" r:id="rId24" display="http://stats.oecd.org/OECDStat_Metadata/ShowMetadata.ashx?Dataset=SHA&amp;Coords=[LOCATION].[PRT]&amp;ShowOnWeb=true&amp;Lang=en" xr:uid="{00000000-0004-0000-0000-000030000000}"/>
    <hyperlink ref="A27" r:id="rId25" display="http://stats.oecd.org/OECDStat_Metadata/ShowMetadata.ashx?Dataset=SHA&amp;Coords=[LOCATION].[ESP]&amp;ShowOnWeb=true&amp;Lang=en" xr:uid="{00000000-0004-0000-0000-000034000000}"/>
    <hyperlink ref="A28" r:id="rId26" display="http://stats.oecd.org/OECDStat_Metadata/ShowMetadata.ashx?Dataset=SHA&amp;Coords=[LOCATION].[SWE]&amp;ShowOnWeb=true&amp;Lang=en" xr:uid="{00000000-0004-0000-0000-000036000000}"/>
    <hyperlink ref="A29" r:id="rId27" display="http://stats.oecd.org/OECDStat_Metadata/ShowMetadata.ashx?Dataset=SHA&amp;Coords=[LOCATION].[CHE]&amp;ShowOnWeb=true&amp;Lang=en" xr:uid="{00000000-0004-0000-0000-000038000000}"/>
    <hyperlink ref="A30" r:id="rId28" display="http://stats.oecd.org/OECDStat_Metadata/ShowMetadata.ashx?Dataset=SHA&amp;Coords=[LOCATION].[GBR]&amp;ShowOnWeb=true&amp;Lang=en" xr:uid="{00000000-0004-0000-0000-00003A000000}"/>
    <hyperlink ref="A31" r:id="rId29" display="http://stats.oecd.org/OECDStat_Metadata/ShowMetadata.ashx?Dataset=SHA&amp;Coords=[LOCATION].[USA]&amp;ShowOnWeb=true&amp;Lang=en" xr:uid="{00000000-0004-0000-0000-00003C000000}"/>
    <hyperlink ref="A32" r:id="rId30" display="https://stats-2.oecd.org/index.aspx?DatasetCode=SHA" xr:uid="{00000000-0004-0000-0000-00003E000000}"/>
  </hyperlinks>
  <pageMargins left="0.75" right="0.75" top="1" bottom="1" header="0.5" footer="0.5"/>
  <pageSetup orientation="portrait" horizontalDpi="0" verticalDpi="0"/>
  <legacy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OECD.Stat export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OECD.Stat</dc:creator>
  <cp:lastModifiedBy>Microsoft Office User</cp:lastModifiedBy>
  <dcterms:created xsi:type="dcterms:W3CDTF">2023-02-02T09:56:42Z</dcterms:created>
  <dcterms:modified xsi:type="dcterms:W3CDTF">2023-02-18T01:17:39Z</dcterms:modified>
</cp:coreProperties>
</file>